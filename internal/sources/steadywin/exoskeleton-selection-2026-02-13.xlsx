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mc:AlternateContent xmlns:mc="http://schemas.openxmlformats.org/markup-compatibility/2006">
    <mc:Choice Requires="x15">
      <x15ac:absPath xmlns:x15ac="http://schemas.microsoft.com/office/spreadsheetml/2010/11/ac" url="C:\Users\haosu\City College Dropbox\Hao Su\Biomechatronics Lab v2\Purchased Hardware and Software\Actuators\伺泰威电机 exoskeleton motor\"/>
    </mc:Choice>
  </mc:AlternateContent>
  <xr:revisionPtr revIDLastSave="0" documentId="13_ncr:1_{44059990-103F-4F39-BDBB-42462B8913FB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G22" i="1"/>
  <c r="F22" i="1"/>
  <c r="E22" i="1"/>
  <c r="D22" i="1"/>
  <c r="C22" i="1"/>
  <c r="I13" i="1"/>
  <c r="H13" i="1"/>
  <c r="G13" i="1"/>
  <c r="F13" i="1"/>
  <c r="E13" i="1"/>
  <c r="D13" i="1"/>
  <c r="C13" i="1"/>
  <c r="I4" i="1"/>
  <c r="E4" i="1"/>
  <c r="D4" i="1"/>
  <c r="C4" i="1"/>
</calcChain>
</file>

<file path=xl/sharedStrings.xml><?xml version="1.0" encoding="utf-8"?>
<sst xmlns="http://schemas.openxmlformats.org/spreadsheetml/2006/main" count="114" uniqueCount="67">
  <si>
    <t>参数 Parameter</t>
  </si>
  <si>
    <t>单位Unit</t>
  </si>
  <si>
    <t>WGG6010-8</t>
  </si>
  <si>
    <t>WGG6013-9</t>
  </si>
  <si>
    <t>WGG6015-8</t>
  </si>
  <si>
    <t>WGG7010-8</t>
  </si>
  <si>
    <t>WGG7010-12.5</t>
  </si>
  <si>
    <t>WGG7015-8</t>
  </si>
  <si>
    <t>WGG8108-8</t>
  </si>
  <si>
    <t>电压范围(Voltage Range)</t>
  </si>
  <si>
    <t>V</t>
  </si>
  <si>
    <t>12V-48V</t>
  </si>
  <si>
    <t>额定电压(Rated Voltage)</t>
  </si>
  <si>
    <t>额定功率(Rated Power)</t>
  </si>
  <si>
    <t>W</t>
  </si>
  <si>
    <t>额定扭矩(Rated Torque)</t>
  </si>
  <si>
    <t>N.M</t>
  </si>
  <si>
    <t>堵转扭矩(Peak Torque)</t>
  </si>
  <si>
    <t>减速后额定转速(Rated Speed after Reduce)</t>
  </si>
  <si>
    <t>RPM</t>
  </si>
  <si>
    <t>减速后最大转速(Max Speed after Reduce)</t>
  </si>
  <si>
    <t>额定电流(Rated Current)</t>
  </si>
  <si>
    <t>A</t>
  </si>
  <si>
    <t>堵转电流(Peak Current)</t>
  </si>
  <si>
    <t>＞30</t>
  </si>
  <si>
    <t>＞60</t>
  </si>
  <si>
    <t>线电阻(Line Resistance)</t>
  </si>
  <si>
    <t>Ω</t>
  </si>
  <si>
    <t>线电感(Serial Inductor)</t>
  </si>
  <si>
    <t>mH</t>
  </si>
  <si>
    <t>转速常数(Speed Constant)</t>
  </si>
  <si>
    <t>rpm/v</t>
  </si>
  <si>
    <t>扭矩常数(Torque Constant)</t>
  </si>
  <si>
    <t>N.M/A</t>
  </si>
  <si>
    <t>极对数(Number of Pole Pairs)</t>
  </si>
  <si>
    <t>Pairs</t>
  </si>
  <si>
    <t xml:space="preserve">减速比(Gear Rate)
</t>
  </si>
  <si>
    <t xml:space="preserve">/
</t>
  </si>
  <si>
    <t>1:8</t>
  </si>
  <si>
    <t>1:9</t>
  </si>
  <si>
    <t>1:12.5</t>
  </si>
  <si>
    <t>减速器类型(Gear Type)</t>
  </si>
  <si>
    <t>/</t>
  </si>
  <si>
    <t>Planetary</t>
  </si>
  <si>
    <t>减速器齿轮材料(Reducer Gear Material)</t>
  </si>
  <si>
    <t>STEEL</t>
  </si>
  <si>
    <t>减速器齿轮背隙(Reducer Gear Backlash)</t>
  </si>
  <si>
    <t>arcmin</t>
  </si>
  <si>
    <t>电机重量不带驱动(Motor Weight without Driver)</t>
  </si>
  <si>
    <t>g</t>
  </si>
  <si>
    <t>电机尺寸不带驱动(Size without Driver)</t>
  </si>
  <si>
    <t>mm</t>
  </si>
  <si>
    <t>Ø67.5*30.5</t>
  </si>
  <si>
    <t>Ø69*26.5</t>
  </si>
  <si>
    <t>Ø67.5*30</t>
  </si>
  <si>
    <t>Ø78*22.5</t>
  </si>
  <si>
    <t>Ø73.2*23.6</t>
  </si>
  <si>
    <t>Ø87*25.5</t>
  </si>
  <si>
    <t>轴向最大负载(Max.Axial Load)</t>
  </si>
  <si>
    <t>N</t>
  </si>
  <si>
    <t>径向最大负载(Max.Radial Load)</t>
  </si>
  <si>
    <t>防水防尘等级(Protection Grade)</t>
  </si>
  <si>
    <t xml:space="preserve"> IP54</t>
  </si>
  <si>
    <t>工作温度范围(Working Temperature)</t>
  </si>
  <si>
    <t>℃</t>
  </si>
  <si>
    <t>-20~+65</t>
  </si>
  <si>
    <t>*注：该参数在室温25°下基于80A电调测试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</si>
</sst>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0.00_ "/>
  </numFmts>
  <fonts count="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name val="宋体"/>
      <charset val="134"/>
    </font>
    <font>
      <sz val="12"/>
      <color theme="1"/>
      <name val="Calibri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rgb="FFFF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quotePrefix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pane xSplit="2" ySplit="1" topLeftCell="C2" activePane="bottomRight" state="frozen"/>
      <selection pane="bottomRight" activeCell="C5" sqref="C5"/>
      <selection pane="bottomLeft"/>
      <selection pane="topRight"/>
    </sheetView>
  </sheetViews>
  <sheetFormatPr defaultColWidth="9" defaultRowHeight="14.45"/>
  <cols>
    <col min="1" max="1" width="60.375" customWidth="1"/>
    <col min="2" max="2" width="15.625" customWidth="1"/>
    <col min="3" max="8" width="18.625" customWidth="1"/>
    <col min="9" max="9" width="18.625" style="1" customWidth="1"/>
    <col min="10" max="12" width="18.625" customWidth="1"/>
  </cols>
  <sheetData>
    <row r="1" spans="1:9" ht="20.100000000000001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20.100000000000001" customHeight="1">
      <c r="A2" s="5" t="s">
        <v>9</v>
      </c>
      <c r="B2" s="6" t="s">
        <v>10</v>
      </c>
      <c r="C2" s="7" t="s">
        <v>11</v>
      </c>
      <c r="D2" s="7" t="s">
        <v>11</v>
      </c>
      <c r="E2" s="7" t="s">
        <v>11</v>
      </c>
      <c r="F2" s="7" t="s">
        <v>11</v>
      </c>
      <c r="G2" s="7" t="s">
        <v>11</v>
      </c>
      <c r="H2" s="7" t="s">
        <v>11</v>
      </c>
      <c r="I2" s="7" t="s">
        <v>11</v>
      </c>
    </row>
    <row r="3" spans="1:9" ht="20.100000000000001" customHeight="1">
      <c r="A3" s="5" t="s">
        <v>12</v>
      </c>
      <c r="B3" s="6" t="s">
        <v>10</v>
      </c>
      <c r="C3" s="7">
        <v>24</v>
      </c>
      <c r="D3" s="7">
        <v>24</v>
      </c>
      <c r="E3" s="7">
        <v>24</v>
      </c>
      <c r="F3" s="8">
        <v>24</v>
      </c>
      <c r="G3" s="8">
        <v>24</v>
      </c>
      <c r="H3" s="8">
        <v>24</v>
      </c>
      <c r="I3" s="18">
        <v>24</v>
      </c>
    </row>
    <row r="4" spans="1:9" ht="20.100000000000001" customHeight="1">
      <c r="A4" s="5" t="s">
        <v>13</v>
      </c>
      <c r="B4" s="6" t="s">
        <v>14</v>
      </c>
      <c r="C4" s="9">
        <f>C9*C3</f>
        <v>295.2</v>
      </c>
      <c r="D4" s="9">
        <f>D3*D9</f>
        <v>331.2</v>
      </c>
      <c r="E4" s="9">
        <f>E3*E9</f>
        <v>225.6</v>
      </c>
      <c r="F4" s="10">
        <v>170.4</v>
      </c>
      <c r="G4" s="10">
        <v>171.4</v>
      </c>
      <c r="H4" s="10">
        <v>168</v>
      </c>
      <c r="I4" s="9">
        <f>I9*I3</f>
        <v>410.4</v>
      </c>
    </row>
    <row r="5" spans="1:9" ht="20.100000000000001" customHeight="1">
      <c r="A5" s="11" t="s">
        <v>15</v>
      </c>
      <c r="B5" s="6" t="s">
        <v>16</v>
      </c>
      <c r="C5" s="30">
        <v>5.68</v>
      </c>
      <c r="D5" s="12">
        <v>9.8000000000000007</v>
      </c>
      <c r="E5" s="13">
        <v>6</v>
      </c>
      <c r="F5" s="8">
        <v>7.6</v>
      </c>
      <c r="G5" s="8">
        <v>15.8</v>
      </c>
      <c r="H5" s="8">
        <v>11.4</v>
      </c>
      <c r="I5" s="18">
        <v>10.199999999999999</v>
      </c>
    </row>
    <row r="6" spans="1:9" ht="20.100000000000001" customHeight="1">
      <c r="A6" s="11" t="s">
        <v>17</v>
      </c>
      <c r="B6" s="6" t="s">
        <v>16</v>
      </c>
      <c r="C6" s="30">
        <v>16.89</v>
      </c>
      <c r="D6" s="38">
        <v>30.83</v>
      </c>
      <c r="E6" s="26">
        <v>18.2</v>
      </c>
      <c r="F6" s="27">
        <v>23.24</v>
      </c>
      <c r="G6" s="8">
        <v>41.5</v>
      </c>
      <c r="H6" s="8">
        <v>31.71</v>
      </c>
      <c r="I6" s="18">
        <v>24.78</v>
      </c>
    </row>
    <row r="7" spans="1:9" ht="20.100000000000001" customHeight="1">
      <c r="A7" s="5" t="s">
        <v>18</v>
      </c>
      <c r="B7" s="6" t="s">
        <v>19</v>
      </c>
      <c r="C7" s="31">
        <v>383</v>
      </c>
      <c r="D7" s="15">
        <v>247</v>
      </c>
      <c r="E7" s="18">
        <v>300</v>
      </c>
      <c r="F7" s="8">
        <v>151</v>
      </c>
      <c r="G7" s="8">
        <v>146</v>
      </c>
      <c r="H7" s="8">
        <v>94</v>
      </c>
      <c r="I7" s="18">
        <v>288</v>
      </c>
    </row>
    <row r="8" spans="1:9" ht="20.100000000000001" customHeight="1">
      <c r="A8" s="5" t="s">
        <v>20</v>
      </c>
      <c r="B8" s="6" t="s">
        <v>19</v>
      </c>
      <c r="C8" s="31">
        <v>520</v>
      </c>
      <c r="D8" s="15">
        <v>344</v>
      </c>
      <c r="E8" s="18">
        <v>366</v>
      </c>
      <c r="F8" s="8">
        <v>222</v>
      </c>
      <c r="G8" s="8">
        <v>200</v>
      </c>
      <c r="H8" s="8">
        <v>148</v>
      </c>
      <c r="I8" s="18">
        <v>390</v>
      </c>
    </row>
    <row r="9" spans="1:9" ht="20.100000000000001" customHeight="1">
      <c r="A9" s="11" t="s">
        <v>21</v>
      </c>
      <c r="B9" s="6" t="s">
        <v>22</v>
      </c>
      <c r="C9" s="30">
        <v>12.3</v>
      </c>
      <c r="D9" s="12">
        <v>13.8</v>
      </c>
      <c r="E9" s="13">
        <v>9.4</v>
      </c>
      <c r="F9" s="8">
        <v>7.1</v>
      </c>
      <c r="G9" s="8">
        <v>14</v>
      </c>
      <c r="H9" s="8">
        <v>7</v>
      </c>
      <c r="I9" s="18">
        <v>17.100000000000001</v>
      </c>
    </row>
    <row r="10" spans="1:9" ht="20.100000000000001" customHeight="1">
      <c r="A10" s="11" t="s">
        <v>23</v>
      </c>
      <c r="B10" s="6" t="s">
        <v>22</v>
      </c>
      <c r="C10" s="31" t="s">
        <v>24</v>
      </c>
      <c r="D10" s="16" t="s">
        <v>24</v>
      </c>
      <c r="E10" s="16" t="s">
        <v>24</v>
      </c>
      <c r="F10" s="17" t="s">
        <v>25</v>
      </c>
      <c r="G10" s="17" t="s">
        <v>25</v>
      </c>
      <c r="H10" s="17" t="s">
        <v>25</v>
      </c>
      <c r="I10" s="17" t="s">
        <v>25</v>
      </c>
    </row>
    <row r="11" spans="1:9" ht="20.100000000000001" customHeight="1">
      <c r="A11" s="11" t="s">
        <v>26</v>
      </c>
      <c r="B11" s="6" t="s">
        <v>27</v>
      </c>
      <c r="C11" s="31">
        <v>0.85</v>
      </c>
      <c r="D11" s="7">
        <v>7.3999999999999996E-2</v>
      </c>
      <c r="E11" s="18">
        <v>0.17299999999999999</v>
      </c>
      <c r="F11" s="8">
        <v>0.27</v>
      </c>
      <c r="G11" s="8">
        <v>0.153</v>
      </c>
      <c r="H11" s="8">
        <v>0.371</v>
      </c>
      <c r="I11" s="18">
        <v>0.06</v>
      </c>
    </row>
    <row r="12" spans="1:9" ht="20.100000000000001" customHeight="1">
      <c r="A12" s="11" t="s">
        <v>28</v>
      </c>
      <c r="B12" s="6" t="s">
        <v>29</v>
      </c>
      <c r="C12" s="31">
        <v>0.04</v>
      </c>
      <c r="D12" s="15">
        <v>4.5999999999999999E-2</v>
      </c>
      <c r="E12" s="18">
        <v>5.6800000000000003E-2</v>
      </c>
      <c r="F12" s="8">
        <v>9.5799999999999996E-2</v>
      </c>
      <c r="G12" s="8">
        <v>5.9700000000000003E-2</v>
      </c>
      <c r="H12" s="8">
        <v>0.14000000000000001</v>
      </c>
      <c r="I12" s="18">
        <v>0.03</v>
      </c>
    </row>
    <row r="13" spans="1:9" ht="20.100000000000001" customHeight="1">
      <c r="A13" s="5" t="s">
        <v>30</v>
      </c>
      <c r="B13" s="6" t="s">
        <v>31</v>
      </c>
      <c r="C13" s="32">
        <f t="shared" ref="C13:I13" si="0">C8/C3</f>
        <v>21.6666666666667</v>
      </c>
      <c r="D13" s="16">
        <f t="shared" si="0"/>
        <v>14.3333333333333</v>
      </c>
      <c r="E13" s="16">
        <f t="shared" si="0"/>
        <v>15.25</v>
      </c>
      <c r="F13" s="16">
        <f t="shared" si="0"/>
        <v>9.25</v>
      </c>
      <c r="G13" s="16">
        <f t="shared" si="0"/>
        <v>8.3333333333333304</v>
      </c>
      <c r="H13" s="16">
        <f t="shared" si="0"/>
        <v>6.1666666666666696</v>
      </c>
      <c r="I13" s="16">
        <f t="shared" si="0"/>
        <v>16.25</v>
      </c>
    </row>
    <row r="14" spans="1:9" ht="20.100000000000001" customHeight="1">
      <c r="A14" s="11" t="s">
        <v>32</v>
      </c>
      <c r="B14" s="6" t="s">
        <v>33</v>
      </c>
      <c r="C14" s="33">
        <v>0.39</v>
      </c>
      <c r="D14" s="12">
        <v>0.47</v>
      </c>
      <c r="E14" s="12">
        <v>1.47</v>
      </c>
      <c r="F14" s="8">
        <v>0.65</v>
      </c>
      <c r="G14" s="8">
        <v>1.65</v>
      </c>
      <c r="H14" s="8">
        <v>1.2</v>
      </c>
      <c r="I14" s="18">
        <v>0.6</v>
      </c>
    </row>
    <row r="15" spans="1:9" ht="20.100000000000001" customHeight="1">
      <c r="A15" s="5" t="s">
        <v>34</v>
      </c>
      <c r="B15" s="6" t="s">
        <v>35</v>
      </c>
      <c r="C15" s="31">
        <v>14</v>
      </c>
      <c r="D15" s="15">
        <v>14</v>
      </c>
      <c r="E15" s="18">
        <v>14</v>
      </c>
      <c r="F15" s="8">
        <v>21</v>
      </c>
      <c r="G15" s="8">
        <v>21</v>
      </c>
      <c r="H15" s="8">
        <v>21</v>
      </c>
      <c r="I15" s="18">
        <v>21</v>
      </c>
    </row>
    <row r="16" spans="1:9" ht="20.100000000000001" customHeight="1">
      <c r="A16" s="5" t="s">
        <v>36</v>
      </c>
      <c r="B16" s="19" t="s">
        <v>37</v>
      </c>
      <c r="C16" s="34" t="s">
        <v>38</v>
      </c>
      <c r="D16" s="20" t="s">
        <v>39</v>
      </c>
      <c r="E16" s="28" t="s">
        <v>38</v>
      </c>
      <c r="F16" s="28" t="s">
        <v>38</v>
      </c>
      <c r="G16" s="20" t="s">
        <v>40</v>
      </c>
      <c r="H16" s="20" t="s">
        <v>38</v>
      </c>
      <c r="I16" s="20" t="s">
        <v>38</v>
      </c>
    </row>
    <row r="17" spans="1:9" ht="20.100000000000001" customHeight="1">
      <c r="A17" s="5" t="s">
        <v>41</v>
      </c>
      <c r="B17" s="6" t="s">
        <v>42</v>
      </c>
      <c r="C17" s="35" t="s">
        <v>43</v>
      </c>
      <c r="D17" s="15" t="s">
        <v>43</v>
      </c>
      <c r="E17" s="15" t="s">
        <v>43</v>
      </c>
      <c r="F17" s="15" t="s">
        <v>43</v>
      </c>
      <c r="G17" s="15" t="s">
        <v>43</v>
      </c>
      <c r="H17" s="15" t="s">
        <v>43</v>
      </c>
      <c r="I17" s="15" t="s">
        <v>43</v>
      </c>
    </row>
    <row r="18" spans="1:9" ht="20.100000000000001" customHeight="1">
      <c r="A18" s="5" t="s">
        <v>44</v>
      </c>
      <c r="B18" s="6" t="s">
        <v>42</v>
      </c>
      <c r="C18" s="36" t="s">
        <v>45</v>
      </c>
      <c r="D18" s="25" t="s">
        <v>45</v>
      </c>
      <c r="E18" s="29" t="s">
        <v>45</v>
      </c>
      <c r="F18" s="29" t="s">
        <v>45</v>
      </c>
      <c r="G18" s="25" t="s">
        <v>45</v>
      </c>
      <c r="H18" s="25" t="s">
        <v>45</v>
      </c>
      <c r="I18" s="25" t="s">
        <v>45</v>
      </c>
    </row>
    <row r="19" spans="1:9" ht="20.100000000000001" customHeight="1">
      <c r="A19" s="5" t="s">
        <v>46</v>
      </c>
      <c r="B19" s="6" t="s">
        <v>47</v>
      </c>
      <c r="C19" s="35">
        <v>15</v>
      </c>
      <c r="D19" s="15">
        <v>15</v>
      </c>
      <c r="E19" s="15">
        <v>15</v>
      </c>
      <c r="F19" s="15">
        <v>15</v>
      </c>
      <c r="G19" s="15">
        <v>15</v>
      </c>
      <c r="H19" s="15">
        <v>15</v>
      </c>
      <c r="I19" s="15">
        <v>15</v>
      </c>
    </row>
    <row r="20" spans="1:9" ht="20.100000000000001" customHeight="1">
      <c r="A20" s="5" t="s">
        <v>48</v>
      </c>
      <c r="B20" s="6" t="s">
        <v>49</v>
      </c>
      <c r="C20" s="14">
        <v>260.5</v>
      </c>
      <c r="D20" s="15">
        <v>319</v>
      </c>
      <c r="E20" s="18">
        <v>322.89999999999998</v>
      </c>
      <c r="F20" s="18">
        <v>334</v>
      </c>
      <c r="G20" s="18">
        <v>300</v>
      </c>
      <c r="H20" s="18">
        <v>375.3</v>
      </c>
      <c r="I20" s="18">
        <v>327.3</v>
      </c>
    </row>
    <row r="21" spans="1:9" ht="20.100000000000001" customHeight="1">
      <c r="A21" s="5" t="s">
        <v>50</v>
      </c>
      <c r="B21" s="6" t="s">
        <v>51</v>
      </c>
      <c r="C21" s="14" t="s">
        <v>52</v>
      </c>
      <c r="D21" s="15" t="s">
        <v>53</v>
      </c>
      <c r="E21" s="27" t="s">
        <v>54</v>
      </c>
      <c r="F21" s="37" t="s">
        <v>55</v>
      </c>
      <c r="G21" s="18" t="s">
        <v>56</v>
      </c>
      <c r="H21" s="18" t="s">
        <v>55</v>
      </c>
      <c r="I21" s="18" t="s">
        <v>57</v>
      </c>
    </row>
    <row r="22" spans="1:9" ht="20.100000000000001" customHeight="1">
      <c r="A22" s="5" t="s">
        <v>58</v>
      </c>
      <c r="B22" s="6" t="s">
        <v>59</v>
      </c>
      <c r="C22" s="7">
        <f t="shared" ref="C22:I22" si="1">C23*0.25</f>
        <v>225</v>
      </c>
      <c r="D22" s="7">
        <f t="shared" si="1"/>
        <v>225</v>
      </c>
      <c r="E22" s="7">
        <f t="shared" si="1"/>
        <v>225</v>
      </c>
      <c r="F22" s="7">
        <f t="shared" si="1"/>
        <v>225</v>
      </c>
      <c r="G22" s="7">
        <f t="shared" si="1"/>
        <v>225</v>
      </c>
      <c r="H22" s="7">
        <f t="shared" si="1"/>
        <v>225</v>
      </c>
      <c r="I22" s="7">
        <f t="shared" si="1"/>
        <v>225</v>
      </c>
    </row>
    <row r="23" spans="1:9" ht="20.100000000000001" customHeight="1">
      <c r="A23" s="5" t="s">
        <v>60</v>
      </c>
      <c r="B23" s="6" t="s">
        <v>59</v>
      </c>
      <c r="C23" s="15">
        <v>900</v>
      </c>
      <c r="D23" s="15">
        <v>900</v>
      </c>
      <c r="E23" s="15">
        <v>900</v>
      </c>
      <c r="F23" s="15">
        <v>900</v>
      </c>
      <c r="G23" s="15">
        <v>900</v>
      </c>
      <c r="H23" s="15">
        <v>900</v>
      </c>
      <c r="I23" s="15">
        <v>900</v>
      </c>
    </row>
    <row r="24" spans="1:9" ht="20.100000000000001" customHeight="1">
      <c r="A24" s="21" t="s">
        <v>61</v>
      </c>
      <c r="B24" s="22" t="s">
        <v>42</v>
      </c>
      <c r="C24" s="15" t="s">
        <v>62</v>
      </c>
      <c r="D24" s="15" t="s">
        <v>62</v>
      </c>
      <c r="E24" s="15" t="s">
        <v>62</v>
      </c>
      <c r="F24" s="15" t="s">
        <v>62</v>
      </c>
      <c r="G24" s="15" t="s">
        <v>62</v>
      </c>
      <c r="H24" s="15" t="s">
        <v>62</v>
      </c>
      <c r="I24" s="15" t="s">
        <v>62</v>
      </c>
    </row>
    <row r="25" spans="1:9" ht="20.100000000000001" customHeight="1">
      <c r="A25" s="5" t="s">
        <v>63</v>
      </c>
      <c r="B25" s="6" t="s">
        <v>64</v>
      </c>
      <c r="C25" s="23" t="s">
        <v>65</v>
      </c>
      <c r="D25" s="23" t="s">
        <v>65</v>
      </c>
      <c r="E25" s="23" t="s">
        <v>65</v>
      </c>
      <c r="F25" s="23" t="s">
        <v>65</v>
      </c>
      <c r="G25" s="23" t="s">
        <v>65</v>
      </c>
      <c r="H25" s="23" t="s">
        <v>65</v>
      </c>
      <c r="I25" s="23" t="s">
        <v>65</v>
      </c>
    </row>
    <row r="26" spans="1:9">
      <c r="A26" s="24" t="s">
        <v>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Hao Su</cp:lastModifiedBy>
  <cp:revision/>
  <dcterms:created xsi:type="dcterms:W3CDTF">2023-05-12T11:15:00Z</dcterms:created>
  <dcterms:modified xsi:type="dcterms:W3CDTF">2026-06-18T21:06:32Z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25A81E5D767544EAB55AE01CC63B8F18_13</vt:lpwstr>
  </property>
  <property fmtid="{D5CDD505-2E9C-101B-9397-08002B2CF9AE}" pid="4" name="CalculationRule">
    <vt:i4>0</vt:i4>
  </property>
</Properties>
</file>